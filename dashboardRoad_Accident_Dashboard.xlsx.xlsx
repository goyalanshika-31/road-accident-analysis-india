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3.xml"/>
  <Override ContentType="application/vnd.ms-excel.slicer+xml" PartName="/xl/slicers/slicer2.xml"/>
  <Override ContentType="application/vnd.ms-excel.slicer+xml" PartName="/xl/slicers/slicer4.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cidents_by_state" sheetId="1" r:id="rId5"/>
    <sheet state="visible" name="Pivot Table 1" sheetId="2" r:id="rId6"/>
    <sheet state="visible" name="accidents_by_weather" sheetId="3" r:id="rId7"/>
    <sheet state="visible" name="accidents_by_road_type" sheetId="4" r:id="rId8"/>
    <sheet state="visible" name="accident_severity" sheetId="5" r:id="rId9"/>
    <sheet state="visible" name="lighting_conditions" sheetId="6" r:id="rId10"/>
    <sheet state="visible" name="Dashboard" sheetId="7" r:id="rId11"/>
  </sheets>
  <definedNames>
    <definedName hidden="1" localSheetId="0" name="Z_37AE680A_2AD7_4DEE_B8DA_FC41197A2108_.wvu.FilterData">accidents_by_state!$A$1:$A$1000</definedName>
    <definedName hidden="1" localSheetId="0" name="Z_37AE680A_2AD7_4DEE_B8DA_FC41197A2108_.wvu.FilterData">accidents_by_state!$A$1:$A$1000</definedName>
    <definedName hidden="1" localSheetId="2" name="Z_37AE680A_2AD7_4DEE_B8DA_FC41197A2108_.wvu.FilterData">accidents_by_weather!$A$1:$A$1000</definedName>
    <definedName hidden="1" localSheetId="2" name="Z_37AE680A_2AD7_4DEE_B8DA_FC41197A2108_.wvu.FilterData">accidents_by_weather!$A$1:$A$1000</definedName>
    <definedName hidden="1" localSheetId="3" name="Z_37AE680A_2AD7_4DEE_B8DA_FC41197A2108_.wvu.FilterData">accidents_by_road_type!$A$1:$A$1000</definedName>
    <definedName name="SlicerCache_Table_1_Col_1">#N/A</definedName>
    <definedName name="SlicerCache_Table_2_Col_1">#N/A</definedName>
    <definedName name="SlicerCache_Table_3_Col_1">#N/A</definedName>
  </definedNames>
  <calcPr/>
  <customWorkbookViews>
    <customWorkbookView activeSheetId="0" maximized="1" windowHeight="0" windowWidth="0" guid="{37AE680A-2AD7-4DEE-B8DA-FC41197A2108}" name="Filter 1"/>
  </customWorkbookViews>
  <pivotCaches>
    <pivotCache cacheId="0" r:id="rId12"/>
  </pivotCaches>
  <extLst>
    <ext uri="{46BE6895-7355-4a93-B00E-2C351335B9C9}">
      <x15:slicerCaches>
        <x14:slicerCache r:id="rId13"/>
        <x14:slicerCache r:id="rId14"/>
        <x14:slicerCache r:id="rId15"/>
      </x15:slicerCaches>
    </ext>
  </extLst>
</workbook>
</file>

<file path=xl/sharedStrings.xml><?xml version="1.0" encoding="utf-8"?>
<sst xmlns="http://schemas.openxmlformats.org/spreadsheetml/2006/main" count="98" uniqueCount="61">
  <si>
    <t>state_name</t>
  </si>
  <si>
    <t>total_accidents</t>
  </si>
  <si>
    <t xml:space="preserve">Total accident </t>
  </si>
  <si>
    <t>Highest Accident State KPI</t>
  </si>
  <si>
    <t>Goa</t>
  </si>
  <si>
    <t>Delhi</t>
  </si>
  <si>
    <t>Sikkim</t>
  </si>
  <si>
    <t>Uttarakhand</t>
  </si>
  <si>
    <t>Jammu and Kashmir</t>
  </si>
  <si>
    <t>Kerala</t>
  </si>
  <si>
    <t>Tamil Nadu</t>
  </si>
  <si>
    <t>Nagaland</t>
  </si>
  <si>
    <t>Gujarat</t>
  </si>
  <si>
    <t>Puducherry</t>
  </si>
  <si>
    <t>Mizoram</t>
  </si>
  <si>
    <t>Karnataka</t>
  </si>
  <si>
    <t>West Bengal</t>
  </si>
  <si>
    <t>Uttar Pradesh</t>
  </si>
  <si>
    <t>Haryana</t>
  </si>
  <si>
    <t>Jharkhand</t>
  </si>
  <si>
    <t>Rajasthan</t>
  </si>
  <si>
    <t>Odisha</t>
  </si>
  <si>
    <t>Telangana</t>
  </si>
  <si>
    <t>Meghalaya</t>
  </si>
  <si>
    <t>Chhattisgarh</t>
  </si>
  <si>
    <t>Himachal Pradesh</t>
  </si>
  <si>
    <t>Assam</t>
  </si>
  <si>
    <t>Punjab</t>
  </si>
  <si>
    <t>Maharashtra</t>
  </si>
  <si>
    <t>Andhra Pradesh</t>
  </si>
  <si>
    <t>Manipur</t>
  </si>
  <si>
    <t>Madhya Pradesh</t>
  </si>
  <si>
    <t>Chandigarh</t>
  </si>
  <si>
    <t>Arunachal Pradesh</t>
  </si>
  <si>
    <t>Bihar</t>
  </si>
  <si>
    <t>Tripura</t>
  </si>
  <si>
    <t>SUM of total_accidents</t>
  </si>
  <si>
    <t>Grand Total</t>
  </si>
  <si>
    <t>weather_conditions</t>
  </si>
  <si>
    <t>accidents</t>
  </si>
  <si>
    <t>Rainy</t>
  </si>
  <si>
    <t>Stormy</t>
  </si>
  <si>
    <t>Hazy</t>
  </si>
  <si>
    <t>Foggy</t>
  </si>
  <si>
    <t>Clear</t>
  </si>
  <si>
    <t>road_type</t>
  </si>
  <si>
    <t>MOST DANGEROUS ROAD_TYPE</t>
  </si>
  <si>
    <t>State Highway</t>
  </si>
  <si>
    <t>Village Road</t>
  </si>
  <si>
    <t>National Highway</t>
  </si>
  <si>
    <t>Urban Road</t>
  </si>
  <si>
    <t>accident_severity</t>
  </si>
  <si>
    <t>total</t>
  </si>
  <si>
    <t>Minor</t>
  </si>
  <si>
    <t>Fatal</t>
  </si>
  <si>
    <t>Serious</t>
  </si>
  <si>
    <t>lighting_conditions</t>
  </si>
  <si>
    <t>Dark</t>
  </si>
  <si>
    <t>Dusk</t>
  </si>
  <si>
    <t>Daylight</t>
  </si>
  <si>
    <t>Dawn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</si>
</sst>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EAD1DC"/>
        <bgColor rgb="FFEAD1DC"/>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2" fontId="1" numFmtId="0" xfId="0" applyFill="1"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microsoft.com/office/2007/relationships/slicerCache" Target="slicerCaches/slicerCache1.xml"/><Relationship Id="rId12"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microsoft.com/office/2007/relationships/slicerCache" Target="slicerCaches/slicerCache3.xml"/><Relationship Id="rId14" Type="http://schemas.microsoft.com/office/2007/relationships/slicerCache" Target="slicerCaches/slicerCache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Accidents by State</a:t>
            </a:r>
          </a:p>
        </c:rich>
      </c:tx>
      <c:overlay val="0"/>
    </c:title>
    <c:plotArea>
      <c:layout/>
      <c:barChart>
        <c:barDir val="bar"/>
        <c:grouping val="stacked"/>
        <c:ser>
          <c:idx val="0"/>
          <c:order val="0"/>
          <c:tx>
            <c:strRef>
              <c:f>accidents_by_state!$B$1</c:f>
            </c:strRef>
          </c:tx>
          <c:spPr>
            <a:solidFill>
              <a:schemeClr val="accent1"/>
            </a:solidFill>
            <a:ln cmpd="sng">
              <a:solidFill>
                <a:srgbClr val="000000"/>
              </a:solidFill>
            </a:ln>
          </c:spPr>
          <c:cat>
            <c:strRef>
              <c:f>accidents_by_state!$A$2:$A$33</c:f>
            </c:strRef>
          </c:cat>
          <c:val>
            <c:numRef>
              <c:f>accidents_by_state!$B$2:$B$33</c:f>
              <c:numCache/>
            </c:numRef>
          </c:val>
        </c:ser>
        <c:overlap val="100"/>
        <c:axId val="1782162894"/>
        <c:axId val="301302693"/>
      </c:barChart>
      <c:catAx>
        <c:axId val="178216289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state_name</a:t>
                </a:r>
              </a:p>
            </c:rich>
          </c:tx>
          <c:overlay val="0"/>
        </c:title>
        <c:numFmt formatCode="General" sourceLinked="1"/>
        <c:majorTickMark val="none"/>
        <c:minorTickMark val="none"/>
        <c:spPr/>
        <c:txPr>
          <a:bodyPr/>
          <a:lstStyle/>
          <a:p>
            <a:pPr lvl="0">
              <a:defRPr b="0">
                <a:solidFill>
                  <a:srgbClr val="000000"/>
                </a:solidFill>
                <a:latin typeface="+mn-lt"/>
              </a:defRPr>
            </a:pPr>
          </a:p>
        </c:txPr>
        <c:crossAx val="301302693"/>
      </c:catAx>
      <c:valAx>
        <c:axId val="30130269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total_accidents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82162894"/>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Accidents by Weather Condition</a:t>
            </a:r>
          </a:p>
        </c:rich>
      </c:tx>
      <c:overlay val="0"/>
    </c:title>
    <c:view3D>
      <c:rotX val="50"/>
      <c:perspective val="0"/>
    </c:view3D>
    <c:plotArea>
      <c:layout/>
      <c:pie3DChart>
        <c:varyColors val="1"/>
        <c:ser>
          <c:idx val="0"/>
          <c:order val="0"/>
          <c:tx>
            <c:strRef>
              <c:f>accidents_by_weather!$B$1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0"/>
            <c:showBubbleSize val="0"/>
            <c:showLeaderLines val="1"/>
          </c:dLbls>
          <c:cat>
            <c:strRef>
              <c:f>accidents_by_weather!$A$2:$A$6</c:f>
            </c:strRef>
          </c:cat>
          <c:val>
            <c:numRef>
              <c:f>accidents_by_weather!$B$2:$B$6</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Accidents by Road Type</a:t>
            </a:r>
          </a:p>
        </c:rich>
      </c:tx>
      <c:overlay val="0"/>
    </c:title>
    <c:plotArea>
      <c:layout/>
      <c:barChart>
        <c:barDir val="col"/>
        <c:grouping val="stacked"/>
        <c:ser>
          <c:idx val="0"/>
          <c:order val="0"/>
          <c:tx>
            <c:strRef>
              <c:f>accidents_by_road_type!$B$1</c:f>
            </c:strRef>
          </c:tx>
          <c:spPr>
            <a:solidFill>
              <a:schemeClr val="accent1"/>
            </a:solidFill>
            <a:ln cmpd="sng">
              <a:solidFill>
                <a:srgbClr val="000000"/>
              </a:solidFill>
            </a:ln>
          </c:spPr>
          <c:cat>
            <c:strRef>
              <c:f>accidents_by_road_type!$A$2:$A$5</c:f>
            </c:strRef>
          </c:cat>
          <c:val>
            <c:numRef>
              <c:f>accidents_by_road_type!$B$2:$B$5</c:f>
              <c:numCache/>
            </c:numRef>
          </c:val>
        </c:ser>
        <c:overlap val="100"/>
        <c:axId val="617679944"/>
        <c:axId val="709029895"/>
      </c:barChart>
      <c:catAx>
        <c:axId val="6176799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road_type</a:t>
                </a:r>
              </a:p>
            </c:rich>
          </c:tx>
          <c:overlay val="0"/>
        </c:title>
        <c:numFmt formatCode="General" sourceLinked="1"/>
        <c:majorTickMark val="none"/>
        <c:minorTickMark val="none"/>
        <c:spPr/>
        <c:txPr>
          <a:bodyPr/>
          <a:lstStyle/>
          <a:p>
            <a:pPr lvl="0">
              <a:defRPr b="0">
                <a:solidFill>
                  <a:srgbClr val="000000"/>
                </a:solidFill>
                <a:latin typeface="+mn-lt"/>
              </a:defRPr>
            </a:pPr>
          </a:p>
        </c:txPr>
        <c:crossAx val="709029895"/>
      </c:catAx>
      <c:valAx>
        <c:axId val="7090298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accidents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17679944"/>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Accident Severity Distribution</a:t>
            </a:r>
          </a:p>
        </c:rich>
      </c:tx>
      <c:overlay val="0"/>
    </c:title>
    <c:plotArea>
      <c:layout/>
      <c:doughnutChart>
        <c:varyColors val="1"/>
        <c:ser>
          <c:idx val="0"/>
          <c:order val="0"/>
          <c:tx>
            <c:strRef>
              <c:f>accident_severity!$B$1</c:f>
            </c:strRef>
          </c:tx>
          <c:dPt>
            <c:idx val="0"/>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accident_severity!$A$2:$A$4</c:f>
            </c:strRef>
          </c:cat>
          <c:val>
            <c:numRef>
              <c:f>accident_severity!$B$2:$B$4</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Accidents by Lighting Conditions</a:t>
            </a:r>
          </a:p>
        </c:rich>
      </c:tx>
      <c:overlay val="0"/>
    </c:title>
    <c:plotArea>
      <c:layout/>
      <c:barChart>
        <c:barDir val="bar"/>
        <c:grouping val="stacked"/>
        <c:ser>
          <c:idx val="0"/>
          <c:order val="0"/>
          <c:tx>
            <c:strRef>
              <c:f>lighting_conditions!$B$1</c:f>
            </c:strRef>
          </c:tx>
          <c:spPr>
            <a:solidFill>
              <a:schemeClr val="accent1"/>
            </a:solidFill>
            <a:ln cmpd="sng">
              <a:solidFill>
                <a:srgbClr val="000000"/>
              </a:solidFill>
            </a:ln>
          </c:spPr>
          <c:cat>
            <c:strRef>
              <c:f>lighting_conditions!$A$2:$A$5</c:f>
            </c:strRef>
          </c:cat>
          <c:val>
            <c:numRef>
              <c:f>lighting_conditions!$B$2:$B$5</c:f>
              <c:numCache/>
            </c:numRef>
          </c:val>
        </c:ser>
        <c:overlap val="100"/>
        <c:axId val="936490062"/>
        <c:axId val="1651348053"/>
      </c:barChart>
      <c:catAx>
        <c:axId val="93649006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lighting_conditions</a:t>
                </a:r>
              </a:p>
            </c:rich>
          </c:tx>
          <c:overlay val="0"/>
        </c:title>
        <c:numFmt formatCode="General" sourceLinked="1"/>
        <c:majorTickMark val="none"/>
        <c:minorTickMark val="none"/>
        <c:spPr/>
        <c:txPr>
          <a:bodyPr/>
          <a:lstStyle/>
          <a:p>
            <a:pPr lvl="0">
              <a:defRPr b="0">
                <a:solidFill>
                  <a:srgbClr val="000000"/>
                </a:solidFill>
                <a:latin typeface="+mn-lt"/>
              </a:defRPr>
            </a:pPr>
          </a:p>
        </c:txPr>
        <c:crossAx val="1651348053"/>
      </c:catAx>
      <c:valAx>
        <c:axId val="165134805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accidents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36490062"/>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000000"/>
                </a:solidFill>
                <a:latin typeface="Georgia"/>
              </a:defRPr>
            </a:pPr>
            <a:r>
              <a:rPr b="1" sz="1800">
                <a:solidFill>
                  <a:srgbClr val="000000"/>
                </a:solidFill>
                <a:latin typeface="Georgia"/>
              </a:rPr>
              <a:t>States with Highest Number of Accidents</a:t>
            </a:r>
          </a:p>
        </c:rich>
      </c:tx>
      <c:overlay val="0"/>
    </c:title>
    <c:plotArea>
      <c:layout/>
      <c:barChart>
        <c:barDir val="bar"/>
        <c:grouping val="stacked"/>
        <c:ser>
          <c:idx val="0"/>
          <c:order val="0"/>
          <c:tx>
            <c:strRef>
              <c:f>accidents_by_state!$B$1</c:f>
            </c:strRef>
          </c:tx>
          <c:spPr>
            <a:solidFill>
              <a:srgbClr val="741B47"/>
            </a:solidFill>
            <a:ln cmpd="sng">
              <a:solidFill>
                <a:srgbClr val="000000"/>
              </a:solidFill>
            </a:ln>
          </c:spPr>
          <c:cat>
            <c:strRef>
              <c:f>accidents_by_state!$A$2:$A$33</c:f>
            </c:strRef>
          </c:cat>
          <c:val>
            <c:numRef>
              <c:f>accidents_by_state!$B$2:$B$33</c:f>
              <c:numCache/>
            </c:numRef>
          </c:val>
        </c:ser>
        <c:overlap val="100"/>
        <c:axId val="1293908492"/>
        <c:axId val="2005606107"/>
      </c:barChart>
      <c:catAx>
        <c:axId val="1293908492"/>
        <c:scaling>
          <c:orientation val="maxMin"/>
        </c:scaling>
        <c:delete val="0"/>
        <c:axPos val="l"/>
        <c:title>
          <c:tx>
            <c:rich>
              <a:bodyPr/>
              <a:lstStyle/>
              <a:p>
                <a:pPr lvl="0">
                  <a:defRPr b="1" sz="1200">
                    <a:solidFill>
                      <a:srgbClr val="000000"/>
                    </a:solidFill>
                    <a:latin typeface="serif"/>
                  </a:defRPr>
                </a:pPr>
                <a:r>
                  <a:rPr b="1" sz="1200">
                    <a:solidFill>
                      <a:srgbClr val="000000"/>
                    </a:solidFill>
                    <a:latin typeface="serif"/>
                  </a:rPr>
                  <a:t>STATE_NAME</a:t>
                </a:r>
              </a:p>
            </c:rich>
          </c:tx>
          <c:overlay val="0"/>
        </c:title>
        <c:numFmt formatCode="General" sourceLinked="1"/>
        <c:majorTickMark val="none"/>
        <c:minorTickMark val="none"/>
        <c:spPr/>
        <c:txPr>
          <a:bodyPr/>
          <a:lstStyle/>
          <a:p>
            <a:pPr lvl="0">
              <a:defRPr b="1">
                <a:solidFill>
                  <a:srgbClr val="000000"/>
                </a:solidFill>
                <a:latin typeface="serif"/>
              </a:defRPr>
            </a:pPr>
          </a:p>
        </c:txPr>
        <c:crossAx val="2005606107"/>
      </c:catAx>
      <c:valAx>
        <c:axId val="2005606107"/>
        <c:scaling>
          <c:orientation val="minMax"/>
        </c:scaling>
        <c:delete val="0"/>
        <c:axPos val="b"/>
        <c:majorGridlines>
          <c:spPr>
            <a:ln>
              <a:solidFill>
                <a:srgbClr val="000000"/>
              </a:solidFill>
            </a:ln>
          </c:spPr>
        </c:majorGridlines>
        <c:minorGridlines>
          <c:spPr>
            <a:ln>
              <a:solidFill>
                <a:srgbClr val="CCCCCC">
                  <a:alpha val="0"/>
                </a:srgbClr>
              </a:solidFill>
            </a:ln>
          </c:spPr>
        </c:minorGridlines>
        <c:title>
          <c:tx>
            <c:rich>
              <a:bodyPr/>
              <a:lstStyle/>
              <a:p>
                <a:pPr lvl="0">
                  <a:defRPr b="1" sz="1200">
                    <a:solidFill>
                      <a:srgbClr val="000000"/>
                    </a:solidFill>
                    <a:latin typeface="serif"/>
                  </a:defRPr>
                </a:pPr>
                <a:r>
                  <a:rPr b="1" sz="1200">
                    <a:solidFill>
                      <a:srgbClr val="000000"/>
                    </a:solidFill>
                    <a:latin typeface="serif"/>
                  </a:rPr>
                  <a:t>TOTAL_ACCIDENTS </a:t>
                </a:r>
              </a:p>
            </c:rich>
          </c:tx>
          <c:overlay val="0"/>
        </c:title>
        <c:numFmt formatCode="General" sourceLinked="1"/>
        <c:majorTickMark val="none"/>
        <c:minorTickMark val="none"/>
        <c:tickLblPos val="nextTo"/>
        <c:spPr>
          <a:ln/>
        </c:spPr>
        <c:txPr>
          <a:bodyPr/>
          <a:lstStyle/>
          <a:p>
            <a:pPr lvl="0">
              <a:defRPr b="1">
                <a:solidFill>
                  <a:srgbClr val="000000"/>
                </a:solidFill>
                <a:latin typeface="serif"/>
              </a:defRPr>
            </a:pPr>
          </a:p>
        </c:txPr>
        <c:crossAx val="1293908492"/>
        <c:crosses val="max"/>
      </c:valAx>
    </c:plotArea>
    <c:legend>
      <c:legendPos val="r"/>
      <c:overlay val="0"/>
      <c:txPr>
        <a:bodyPr/>
        <a:lstStyle/>
        <a:p>
          <a:pPr lvl="0">
            <a:defRPr b="0">
              <a:solidFill>
                <a:srgbClr val="1A1A1A"/>
              </a:solidFill>
              <a:latin typeface="serif"/>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000000"/>
                </a:solidFill>
                <a:latin typeface="Georgia"/>
              </a:defRPr>
            </a:pPr>
            <a:r>
              <a:rPr b="1" sz="1600">
                <a:solidFill>
                  <a:srgbClr val="000000"/>
                </a:solidFill>
                <a:latin typeface="Georgia"/>
              </a:rPr>
              <a:t>Effect of Weather on Road Accidents</a:t>
            </a:r>
          </a:p>
        </c:rich>
      </c:tx>
      <c:overlay val="0"/>
    </c:title>
    <c:view3D>
      <c:rotX val="50"/>
      <c:perspective val="0"/>
    </c:view3D>
    <c:plotArea>
      <c:layout/>
      <c:pie3DChart>
        <c:varyColors val="1"/>
        <c:ser>
          <c:idx val="0"/>
          <c:order val="0"/>
          <c:tx>
            <c:strRef>
              <c:f>accidents_by_weather!$B$1</c:f>
            </c:strRef>
          </c:tx>
          <c:dPt>
            <c:idx val="0"/>
            <c:spPr>
              <a:solidFill>
                <a:srgbClr val="3D85C6"/>
              </a:solidFill>
            </c:spPr>
          </c:dPt>
          <c:dPt>
            <c:idx val="1"/>
            <c:spPr>
              <a:solidFill>
                <a:srgbClr val="A64D79"/>
              </a:solidFill>
            </c:spPr>
          </c:dPt>
          <c:dPt>
            <c:idx val="2"/>
            <c:spPr>
              <a:solidFill>
                <a:srgbClr val="990000"/>
              </a:solidFill>
            </c:spPr>
          </c:dPt>
          <c:dPt>
            <c:idx val="3"/>
            <c:spPr>
              <a:solidFill>
                <a:srgbClr val="4C1130"/>
              </a:solidFill>
            </c:spPr>
          </c:dPt>
          <c:dPt>
            <c:idx val="4"/>
            <c:spPr>
              <a:solidFill>
                <a:srgbClr val="0C343D"/>
              </a:solidFill>
            </c:spPr>
          </c:dPt>
          <c:dLbls>
            <c:showLegendKey val="0"/>
            <c:showVal val="0"/>
            <c:showCatName val="0"/>
            <c:showSerName val="0"/>
            <c:showPercent val="1"/>
            <c:showBubbleSize val="0"/>
            <c:showLeaderLines val="1"/>
          </c:dLbls>
          <c:cat>
            <c:strRef>
              <c:f>accidents_by_weather!$A$2:$A$6</c:f>
            </c:strRef>
          </c:cat>
          <c:val>
            <c:numRef>
              <c:f>accidents_by_weather!$B$2:$B$6</c:f>
              <c:numCache/>
            </c:numRef>
          </c:val>
        </c:ser>
        <c:dLbls>
          <c:showLegendKey val="0"/>
          <c:showVal val="0"/>
          <c:showCatName val="0"/>
          <c:showSerName val="0"/>
          <c:showPercent val="0"/>
          <c:showBubbleSize val="0"/>
        </c:dLbls>
      </c:pie3DChart>
    </c:plotArea>
    <c:legend>
      <c:legendPos val="r"/>
      <c:overlay val="0"/>
      <c:txPr>
        <a:bodyPr/>
        <a:lstStyle/>
        <a:p>
          <a:pPr lvl="0">
            <a:defRPr b="0" sz="1400">
              <a:solidFill>
                <a:schemeClr val="dk1"/>
              </a:solidFill>
              <a:latin typeface="serif"/>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000000"/>
                </a:solidFill>
                <a:latin typeface="Georgia"/>
              </a:defRPr>
            </a:pPr>
            <a:r>
              <a:rPr b="1" sz="1400">
                <a:solidFill>
                  <a:srgbClr val="000000"/>
                </a:solidFill>
                <a:latin typeface="Georgia"/>
              </a:rPr>
              <a:t>Accidents Across Different Road Types</a:t>
            </a:r>
          </a:p>
        </c:rich>
      </c:tx>
      <c:overlay val="0"/>
    </c:title>
    <c:plotArea>
      <c:layout/>
      <c:barChart>
        <c:barDir val="col"/>
        <c:grouping val="stacked"/>
        <c:ser>
          <c:idx val="0"/>
          <c:order val="0"/>
          <c:tx>
            <c:strRef>
              <c:f>accidents_by_road_type!$B$1</c:f>
            </c:strRef>
          </c:tx>
          <c:spPr>
            <a:solidFill>
              <a:srgbClr val="4C1130"/>
            </a:solidFill>
            <a:ln cmpd="sng">
              <a:solidFill>
                <a:srgbClr val="000000"/>
              </a:solidFill>
            </a:ln>
          </c:spPr>
          <c:cat>
            <c:strRef>
              <c:f>accidents_by_road_type!$A$2:$A$5</c:f>
            </c:strRef>
          </c:cat>
          <c:val>
            <c:numRef>
              <c:f>accidents_by_road_type!$B$2:$B$5</c:f>
              <c:numCache/>
            </c:numRef>
          </c:val>
        </c:ser>
        <c:overlap val="100"/>
        <c:axId val="1755127365"/>
        <c:axId val="1877910816"/>
      </c:barChart>
      <c:catAx>
        <c:axId val="1755127365"/>
        <c:scaling>
          <c:orientation val="minMax"/>
        </c:scaling>
        <c:delete val="0"/>
        <c:axPos val="b"/>
        <c:title>
          <c:tx>
            <c:rich>
              <a:bodyPr/>
              <a:lstStyle/>
              <a:p>
                <a:pPr lvl="0">
                  <a:defRPr b="1">
                    <a:solidFill>
                      <a:srgbClr val="000000"/>
                    </a:solidFill>
                    <a:latin typeface="serif"/>
                  </a:defRPr>
                </a:pPr>
                <a:r>
                  <a:rPr b="1">
                    <a:solidFill>
                      <a:srgbClr val="000000"/>
                    </a:solidFill>
                    <a:latin typeface="serif"/>
                  </a:rPr>
                  <a:t>ROAD_TYPE</a:t>
                </a:r>
              </a:p>
            </c:rich>
          </c:tx>
          <c:overlay val="0"/>
        </c:title>
        <c:numFmt formatCode="General" sourceLinked="1"/>
        <c:majorTickMark val="none"/>
        <c:minorTickMark val="none"/>
        <c:spPr/>
        <c:txPr>
          <a:bodyPr/>
          <a:lstStyle/>
          <a:p>
            <a:pPr lvl="0">
              <a:defRPr b="1">
                <a:solidFill>
                  <a:srgbClr val="000000"/>
                </a:solidFill>
                <a:latin typeface="serif"/>
              </a:defRPr>
            </a:pPr>
          </a:p>
        </c:txPr>
        <c:crossAx val="1877910816"/>
      </c:catAx>
      <c:valAx>
        <c:axId val="1877910816"/>
        <c:scaling>
          <c:orientation val="minMax"/>
        </c:scaling>
        <c:delete val="0"/>
        <c:axPos val="l"/>
        <c:majorGridlines>
          <c:spPr>
            <a:ln>
              <a:solidFill>
                <a:srgbClr val="000000"/>
              </a:solidFill>
            </a:ln>
          </c:spPr>
        </c:majorGridlines>
        <c:minorGridlines>
          <c:spPr>
            <a:ln>
              <a:solidFill>
                <a:srgbClr val="CCCCCC">
                  <a:alpha val="0"/>
                </a:srgbClr>
              </a:solidFill>
            </a:ln>
          </c:spPr>
        </c:minorGridlines>
        <c:title>
          <c:tx>
            <c:rich>
              <a:bodyPr/>
              <a:lstStyle/>
              <a:p>
                <a:pPr lvl="0">
                  <a:defRPr b="1" sz="1200">
                    <a:solidFill>
                      <a:srgbClr val="000000"/>
                    </a:solidFill>
                    <a:latin typeface="serif"/>
                  </a:defRPr>
                </a:pPr>
                <a:r>
                  <a:rPr b="1" sz="1200">
                    <a:solidFill>
                      <a:srgbClr val="000000"/>
                    </a:solidFill>
                    <a:latin typeface="serif"/>
                  </a:rPr>
                  <a:t>ACCIDENTS</a:t>
                </a:r>
              </a:p>
            </c:rich>
          </c:tx>
          <c:overlay val="0"/>
        </c:title>
        <c:numFmt formatCode="General" sourceLinked="1"/>
        <c:majorTickMark val="none"/>
        <c:minorTickMark val="none"/>
        <c:tickLblPos val="nextTo"/>
        <c:spPr>
          <a:ln/>
        </c:spPr>
        <c:txPr>
          <a:bodyPr/>
          <a:lstStyle/>
          <a:p>
            <a:pPr lvl="0">
              <a:defRPr b="1">
                <a:solidFill>
                  <a:srgbClr val="000000"/>
                </a:solidFill>
                <a:latin typeface="serif"/>
              </a:defRPr>
            </a:pPr>
          </a:p>
        </c:txPr>
        <c:crossAx val="1755127365"/>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chemeClr val="dk1"/>
                </a:solidFill>
                <a:latin typeface="Georgia"/>
              </a:defRPr>
            </a:pPr>
            <a:r>
              <a:rPr b="1" sz="1600">
                <a:solidFill>
                  <a:schemeClr val="dk1"/>
                </a:solidFill>
                <a:latin typeface="Georgia"/>
              </a:rPr>
              <a:t>Accident Severity Overview</a:t>
            </a:r>
          </a:p>
        </c:rich>
      </c:tx>
      <c:overlay val="0"/>
    </c:title>
    <c:view3D>
      <c:rotX val="50"/>
      <c:perspective val="0"/>
    </c:view3D>
    <c:plotArea>
      <c:layout/>
      <c:doughnutChart>
        <c:varyColors val="1"/>
        <c:ser>
          <c:idx val="0"/>
          <c:order val="0"/>
          <c:tx>
            <c:strRef>
              <c:f>accident_severity!$B$1</c:f>
            </c:strRef>
          </c:tx>
          <c:dPt>
            <c:idx val="0"/>
            <c:spPr>
              <a:solidFill>
                <a:srgbClr val="A64D79"/>
              </a:solidFill>
            </c:spPr>
          </c:dPt>
          <c:dPt>
            <c:idx val="1"/>
            <c:spPr>
              <a:solidFill>
                <a:srgbClr val="134F5C"/>
              </a:solidFill>
            </c:spPr>
          </c:dPt>
          <c:dPt>
            <c:idx val="2"/>
            <c:spPr>
              <a:solidFill>
                <a:srgbClr val="CC0000"/>
              </a:solidFill>
            </c:spPr>
          </c:dPt>
          <c:dLbls>
            <c:showLegendKey val="0"/>
            <c:showVal val="0"/>
            <c:showCatName val="0"/>
            <c:showSerName val="0"/>
            <c:showPercent val="0"/>
            <c:showBubbleSize val="0"/>
            <c:showLeaderLines val="1"/>
          </c:dLbls>
          <c:cat>
            <c:strRef>
              <c:f>accident_severity!$A$2:$A$4</c:f>
            </c:strRef>
          </c:cat>
          <c:val>
            <c:numRef>
              <c:f>accident_severity!$B$2:$B$4</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sz="1400">
              <a:solidFill>
                <a:schemeClr val="dk1"/>
              </a:solidFill>
              <a:latin typeface="serif"/>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000000"/>
                </a:solidFill>
                <a:latin typeface="Georgia"/>
              </a:defRPr>
            </a:pPr>
            <a:r>
              <a:rPr b="1" sz="1600">
                <a:solidFill>
                  <a:srgbClr val="000000"/>
                </a:solidFill>
                <a:latin typeface="Georgia"/>
              </a:rPr>
              <a:t>Effect of Lighting Conditions on Accidents</a:t>
            </a:r>
          </a:p>
        </c:rich>
      </c:tx>
      <c:overlay val="0"/>
    </c:title>
    <c:plotArea>
      <c:layout/>
      <c:barChart>
        <c:barDir val="bar"/>
        <c:grouping val="stacked"/>
        <c:ser>
          <c:idx val="0"/>
          <c:order val="0"/>
          <c:tx>
            <c:strRef>
              <c:f>lighting_conditions!$B$1</c:f>
            </c:strRef>
          </c:tx>
          <c:spPr>
            <a:solidFill>
              <a:srgbClr val="0C343D"/>
            </a:solidFill>
            <a:ln cmpd="sng" w="38100">
              <a:solidFill>
                <a:srgbClr val="000000">
                  <a:alpha val="10196"/>
                </a:srgbClr>
              </a:solidFill>
            </a:ln>
          </c:spPr>
          <c:cat>
            <c:strRef>
              <c:f>lighting_conditions!$A$2:$A$5</c:f>
            </c:strRef>
          </c:cat>
          <c:val>
            <c:numRef>
              <c:f>lighting_conditions!$B$2:$B$5</c:f>
              <c:numCache/>
            </c:numRef>
          </c:val>
        </c:ser>
        <c:overlap val="100"/>
        <c:axId val="352614120"/>
        <c:axId val="596067885"/>
      </c:barChart>
      <c:catAx>
        <c:axId val="352614120"/>
        <c:scaling>
          <c:orientation val="maxMin"/>
        </c:scaling>
        <c:delete val="0"/>
        <c:axPos val="l"/>
        <c:title>
          <c:tx>
            <c:rich>
              <a:bodyPr/>
              <a:lstStyle/>
              <a:p>
                <a:pPr lvl="0">
                  <a:defRPr b="1" sz="1200">
                    <a:solidFill>
                      <a:srgbClr val="000000"/>
                    </a:solidFill>
                    <a:latin typeface="serif"/>
                  </a:defRPr>
                </a:pPr>
                <a:r>
                  <a:rPr b="1" sz="1200">
                    <a:solidFill>
                      <a:srgbClr val="000000"/>
                    </a:solidFill>
                    <a:latin typeface="serif"/>
                  </a:rPr>
                  <a:t>LIGHTING_CONDITIONS</a:t>
                </a:r>
              </a:p>
            </c:rich>
          </c:tx>
          <c:overlay val="0"/>
        </c:title>
        <c:numFmt formatCode="General" sourceLinked="1"/>
        <c:majorTickMark val="none"/>
        <c:minorTickMark val="none"/>
        <c:spPr/>
        <c:txPr>
          <a:bodyPr/>
          <a:lstStyle/>
          <a:p>
            <a:pPr lvl="0">
              <a:defRPr b="1" sz="1400">
                <a:solidFill>
                  <a:srgbClr val="000000"/>
                </a:solidFill>
                <a:latin typeface="serif"/>
              </a:defRPr>
            </a:pPr>
          </a:p>
        </c:txPr>
        <c:crossAx val="596067885"/>
      </c:catAx>
      <c:valAx>
        <c:axId val="596067885"/>
        <c:scaling>
          <c:orientation val="minMax"/>
        </c:scaling>
        <c:delete val="0"/>
        <c:axPos val="b"/>
        <c:majorGridlines>
          <c:spPr>
            <a:ln>
              <a:solidFill>
                <a:srgbClr val="000000"/>
              </a:solidFill>
            </a:ln>
          </c:spPr>
        </c:majorGridlines>
        <c:title>
          <c:tx>
            <c:rich>
              <a:bodyPr/>
              <a:lstStyle/>
              <a:p>
                <a:pPr lvl="0">
                  <a:defRPr b="1">
                    <a:solidFill>
                      <a:srgbClr val="000000"/>
                    </a:solidFill>
                    <a:latin typeface="serif"/>
                  </a:defRPr>
                </a:pPr>
                <a:r>
                  <a:rPr b="1">
                    <a:solidFill>
                      <a:srgbClr val="000000"/>
                    </a:solidFill>
                    <a:latin typeface="serif"/>
                  </a:rPr>
                  <a:t>ACCIDENTS</a:t>
                </a:r>
              </a:p>
            </c:rich>
          </c:tx>
          <c:overlay val="0"/>
        </c:title>
        <c:numFmt formatCode="General" sourceLinked="1"/>
        <c:majorTickMark val="none"/>
        <c:minorTickMark val="none"/>
        <c:tickLblPos val="nextTo"/>
        <c:spPr>
          <a:ln/>
        </c:spPr>
        <c:txPr>
          <a:bodyPr/>
          <a:lstStyle/>
          <a:p>
            <a:pPr lvl="0">
              <a:defRPr b="1" sz="1200">
                <a:solidFill>
                  <a:srgbClr val="000000"/>
                </a:solidFill>
                <a:latin typeface="serif"/>
              </a:defRPr>
            </a:pPr>
          </a:p>
        </c:txPr>
        <c:crossAx val="352614120"/>
        <c:crosses val="max"/>
      </c:valAx>
    </c:plotArea>
    <c:legend>
      <c:legendPos val="r"/>
      <c:overlay val="0"/>
      <c:txPr>
        <a:bodyPr/>
        <a:lstStyle/>
        <a:p>
          <a:pPr lvl="0">
            <a:defRPr b="0" sz="1000">
              <a:solidFill>
                <a:srgbClr val="1A1A1A"/>
              </a:solidFill>
              <a:latin typeface="serif"/>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image" Target="../media/Chart6.png"/></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 Id="rId4" Type="http://schemas.openxmlformats.org/officeDocument/2006/relationships/chart" Target="../charts/chart9.xml"/><Relationship Id="rId5" Type="http://schemas.openxmlformats.org/officeDocument/2006/relationships/chart" Target="../charts/chart10.xml"/><Relationship Id="rId6" Type="http://schemas.openxmlformats.org/officeDocument/2006/relationships/image" Target="../media/Chart14.png"/><Relationship Id="rId7" Type="http://schemas.openxmlformats.org/officeDocument/2006/relationships/image" Target="../media/Chart15.png"/><Relationship Id="rId8" Type="http://schemas.openxmlformats.org/officeDocument/2006/relationships/image" Target="../media/Chart1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942975</xdr:colOff>
      <xdr:row>0</xdr:row>
      <xdr:rowOff>0</xdr:rowOff>
    </xdr:from>
    <xdr:ext cx="5029200" cy="31146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0</xdr:colOff>
      <xdr:row>2</xdr:row>
      <xdr:rowOff>38100</xdr:rowOff>
    </xdr:from>
    <xdr:ext cx="1895475" cy="619125"/>
    <xdr:pic>
      <xdr:nvPicPr>
        <xdr:cNvPr id="207241333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19050</xdr:rowOff>
    </xdr:from>
    <xdr:ext cx="2266950" cy="581025"/>
    <xdr:pic>
      <xdr:nvPicPr>
        <xdr:cNvPr id="1376243812"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952500</xdr:colOff>
      <xdr:row>10</xdr:row>
      <xdr:rowOff>19050</xdr:rowOff>
    </xdr:from>
    <xdr:ext cx="2486025" cy="2857500"/>
    <mc:AlternateContent>
      <mc:Choice Requires="sle15">
        <xdr:graphicFrame>
          <xdr:nvGraphicFramePr>
            <xdr:cNvPr id="1" name="state_name_1"/>
            <xdr:cNvGraphicFramePr/>
          </xdr:nvGraphicFramePr>
          <xdr:xfrm>
            <a:off x="0" y="0"/>
            <a:ext cx="0" cy="0"/>
          </xdr:xfrm>
          <a:graphic>
            <a:graphicData uri="http://schemas.microsoft.com/office/drawing/2010/slicer">
              <x3Unk:slicer name="state_nam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514350</xdr:colOff>
      <xdr:row>0</xdr:row>
      <xdr:rowOff>57150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19050</xdr:colOff>
      <xdr:row>9</xdr:row>
      <xdr:rowOff>114300</xdr:rowOff>
    </xdr:from>
    <xdr:ext cx="2733675" cy="2857500"/>
    <mc:AlternateContent>
      <mc:Choice Requires="sle15">
        <xdr:graphicFrame>
          <xdr:nvGraphicFramePr>
            <xdr:cNvPr id="2" name="weather_conditions_2"/>
            <xdr:cNvGraphicFramePr/>
          </xdr:nvGraphicFramePr>
          <xdr:xfrm>
            <a:off x="0" y="0"/>
            <a:ext cx="0" cy="0"/>
          </xdr:xfrm>
          <a:graphic>
            <a:graphicData uri="http://schemas.microsoft.com/office/drawing/2010/slicer">
              <x3Unk:slicer name="weather_conditions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66675</xdr:colOff>
      <xdr:row>0</xdr:row>
      <xdr:rowOff>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952500</xdr:colOff>
      <xdr:row>2</xdr:row>
      <xdr:rowOff>57150</xdr:rowOff>
    </xdr:from>
    <xdr:ext cx="2447925" cy="619125"/>
    <xdr:pic>
      <xdr:nvPicPr>
        <xdr:cNvPr id="989225021" name="Chart6"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952500</xdr:colOff>
      <xdr:row>6</xdr:row>
      <xdr:rowOff>95250</xdr:rowOff>
    </xdr:from>
    <xdr:ext cx="2133600" cy="2857500"/>
    <mc:AlternateContent>
      <mc:Choice Requires="sle15">
        <xdr:graphicFrame>
          <xdr:nvGraphicFramePr>
            <xdr:cNvPr id="3" name="road_type_3"/>
            <xdr:cNvGraphicFramePr/>
          </xdr:nvGraphicFramePr>
          <xdr:xfrm>
            <a:off x="0" y="0"/>
            <a:ext cx="0" cy="0"/>
          </xdr:xfrm>
          <a:graphic>
            <a:graphicData uri="http://schemas.microsoft.com/office/drawing/2010/slicer">
              <x3Unk:slicer name="road_type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514350</xdr:colOff>
      <xdr:row>0</xdr:row>
      <xdr:rowOff>57150</xdr:rowOff>
    </xdr:from>
    <xdr:ext cx="4476750" cy="2762250"/>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514350</xdr:colOff>
      <xdr:row>0</xdr:row>
      <xdr:rowOff>57150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190500</xdr:colOff>
      <xdr:row>9</xdr:row>
      <xdr:rowOff>123825</xdr:rowOff>
    </xdr:from>
    <xdr:ext cx="5162550" cy="231457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190500</xdr:colOff>
      <xdr:row>0</xdr:row>
      <xdr:rowOff>0</xdr:rowOff>
    </xdr:from>
    <xdr:ext cx="3248025" cy="1819275"/>
    <xdr:graphicFrame>
      <xdr:nvGraphicFramePr>
        <xdr:cNvPr id="10" name="Chart 10"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10</xdr:col>
      <xdr:colOff>371475</xdr:colOff>
      <xdr:row>9</xdr:row>
      <xdr:rowOff>123825</xdr:rowOff>
    </xdr:from>
    <xdr:ext cx="3743325" cy="2314575"/>
    <xdr:graphicFrame>
      <xdr:nvGraphicFramePr>
        <xdr:cNvPr id="11" name="Chart 11"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10</xdr:col>
      <xdr:colOff>371475</xdr:colOff>
      <xdr:row>0</xdr:row>
      <xdr:rowOff>0</xdr:rowOff>
    </xdr:from>
    <xdr:ext cx="3743325" cy="1819275"/>
    <xdr:graphicFrame>
      <xdr:nvGraphicFramePr>
        <xdr:cNvPr id="12" name="Chart 12"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5</xdr:col>
      <xdr:colOff>781050</xdr:colOff>
      <xdr:row>9</xdr:row>
      <xdr:rowOff>123825</xdr:rowOff>
    </xdr:from>
    <xdr:ext cx="4076700" cy="2314575"/>
    <xdr:graphicFrame>
      <xdr:nvGraphicFramePr>
        <xdr:cNvPr id="13" name="Chart 13"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3</xdr:col>
      <xdr:colOff>600075</xdr:colOff>
      <xdr:row>3</xdr:row>
      <xdr:rowOff>85725</xdr:rowOff>
    </xdr:from>
    <xdr:ext cx="2447925" cy="695325"/>
    <xdr:pic>
      <xdr:nvPicPr>
        <xdr:cNvPr id="102223083" name="Chart14"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228600</xdr:colOff>
      <xdr:row>3</xdr:row>
      <xdr:rowOff>85725</xdr:rowOff>
    </xdr:from>
    <xdr:ext cx="1562100" cy="695325"/>
    <xdr:pic>
      <xdr:nvPicPr>
        <xdr:cNvPr id="1228526921" name="Chart15"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895350</xdr:colOff>
      <xdr:row>3</xdr:row>
      <xdr:rowOff>85725</xdr:rowOff>
    </xdr:from>
    <xdr:ext cx="2266950" cy="695325"/>
    <xdr:pic>
      <xdr:nvPicPr>
        <xdr:cNvPr id="1412650424" name="Chart16" title="Chart">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123825</xdr:colOff>
      <xdr:row>7</xdr:row>
      <xdr:rowOff>66675</xdr:rowOff>
    </xdr:from>
    <xdr:ext cx="2266950" cy="2857500"/>
    <mc:AlternateContent>
      <mc:Choice Requires="sle15">
        <xdr:graphicFrame>
          <xdr:nvGraphicFramePr>
            <xdr:cNvPr id="4" name="state_name_4"/>
            <xdr:cNvGraphicFramePr/>
          </xdr:nvGraphicFramePr>
          <xdr:xfrm>
            <a:off x="0" y="0"/>
            <a:ext cx="0" cy="0"/>
          </xdr:xfrm>
          <a:graphic>
            <a:graphicData uri="http://schemas.microsoft.com/office/drawing/2010/slicer">
              <x3Unk:slicer name="state_name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476250</xdr:colOff>
      <xdr:row>7</xdr:row>
      <xdr:rowOff>47625</xdr:rowOff>
    </xdr:from>
    <xdr:ext cx="2914650" cy="2857500"/>
    <mc:AlternateContent>
      <mc:Choice Requires="sle15">
        <xdr:graphicFrame>
          <xdr:nvGraphicFramePr>
            <xdr:cNvPr id="5" name="weather_conditions_5"/>
            <xdr:cNvGraphicFramePr/>
          </xdr:nvGraphicFramePr>
          <xdr:xfrm>
            <a:off x="0" y="0"/>
            <a:ext cx="0" cy="0"/>
          </xdr:xfrm>
          <a:graphic>
            <a:graphicData uri="http://schemas.microsoft.com/office/drawing/2010/slicer">
              <x3Unk:slicer name="weather_conditions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3</xdr:col>
      <xdr:colOff>809625</xdr:colOff>
      <xdr:row>0</xdr:row>
      <xdr:rowOff>-85725</xdr:rowOff>
    </xdr:from>
    <xdr:ext cx="5972175" cy="647700"/>
    <xdr:grpSp>
      <xdr:nvGrpSpPr>
        <xdr:cNvPr id="2" name="Shape 2" title="Drawing"/>
        <xdr:cNvGrpSpPr/>
      </xdr:nvGrpSpPr>
      <xdr:grpSpPr>
        <a:xfrm>
          <a:off x="451975" y="186100"/>
          <a:ext cx="5951425" cy="767000"/>
          <a:chOff x="451975" y="186100"/>
          <a:chExt cx="5951425" cy="767000"/>
        </a:xfrm>
      </xdr:grpSpPr>
      <xdr:sp>
        <xdr:nvSpPr>
          <xdr:cNvPr id="3" name="Shape 3"/>
          <xdr:cNvSpPr txBox="1"/>
        </xdr:nvSpPr>
        <xdr:spPr>
          <a:xfrm>
            <a:off x="451975" y="186100"/>
            <a:ext cx="5838900" cy="6033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 name="Shape 4"/>
          <xdr:cNvSpPr txBox="1"/>
        </xdr:nvSpPr>
        <xdr:spPr>
          <a:xfrm>
            <a:off x="462200" y="267900"/>
            <a:ext cx="5941200" cy="685200"/>
          </a:xfrm>
          <a:prstGeom prst="rect">
            <a:avLst/>
          </a:prstGeom>
          <a:solidFill>
            <a:srgbClr val="B4A7D6"/>
          </a:solid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                            </a:t>
            </a:r>
            <a:r>
              <a:rPr lang="en-US" sz="1400">
                <a:latin typeface="Georgia"/>
                <a:ea typeface="Georgia"/>
                <a:cs typeface="Georgia"/>
                <a:sym typeface="Georgia"/>
              </a:rPr>
              <a:t> </a:t>
            </a:r>
            <a:r>
              <a:rPr b="1" lang="en-US" sz="1600">
                <a:latin typeface="Georgia"/>
                <a:ea typeface="Georgia"/>
                <a:cs typeface="Georgia"/>
                <a:sym typeface="Georgia"/>
              </a:rPr>
              <a:t>ROAD ACCIDENT ANALYSIS</a:t>
            </a:r>
            <a:endParaRPr b="1" sz="1600">
              <a:latin typeface="Georgia"/>
              <a:ea typeface="Georgia"/>
              <a:cs typeface="Georgia"/>
              <a:sym typeface="Georgia"/>
            </a:endParaRPr>
          </a:p>
          <a:p>
            <a:pPr indent="0" lvl="0" marL="0" rtl="0" algn="l">
              <a:spcBef>
                <a:spcPts val="0"/>
              </a:spcBef>
              <a:spcAft>
                <a:spcPts val="0"/>
              </a:spcAft>
              <a:buNone/>
            </a:pPr>
            <a:r>
              <a:rPr b="1" lang="en-US" sz="1600">
                <a:latin typeface="Georgia"/>
                <a:ea typeface="Georgia"/>
                <a:cs typeface="Georgia"/>
                <a:sym typeface="Georgia"/>
              </a:rPr>
              <a:t> </a:t>
            </a:r>
            <a:r>
              <a:rPr b="1" lang="en-US" sz="1600">
                <a:latin typeface="Georgia"/>
                <a:ea typeface="Georgia"/>
                <a:cs typeface="Georgia"/>
                <a:sym typeface="Georgia"/>
              </a:rPr>
              <a:t>Insights on Weather, Road Type, Severity &amp; Location</a:t>
            </a:r>
            <a:endParaRPr b="1" sz="1600">
              <a:latin typeface="Georgia"/>
              <a:ea typeface="Georgia"/>
              <a:cs typeface="Georgia"/>
              <a:sym typeface="Georgia"/>
            </a:endParaRPr>
          </a:p>
        </xdr:txBody>
      </xdr:sp>
    </xdr:grpSp>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B33" sheet="accidents_by_state"/>
  </cacheSource>
  <cacheFields>
    <cacheField name="state_name" numFmtId="0">
      <sharedItems>
        <s v="Goa"/>
        <s v="Delhi"/>
        <s v="Sikkim"/>
        <s v="Uttarakhand"/>
        <s v="Jammu and Kashmir"/>
        <s v="Kerala"/>
        <s v="Tamil Nadu"/>
        <s v="Nagaland"/>
        <s v="Gujarat"/>
        <s v="Puducherry"/>
        <s v="Mizoram"/>
        <s v="Karnataka"/>
        <s v="West Bengal"/>
        <s v="Uttar Pradesh"/>
        <s v="Haryana"/>
        <s v="Jharkhand"/>
        <s v="Rajasthan"/>
        <s v="Odisha"/>
        <s v="Telangana"/>
        <s v="Meghalaya"/>
        <s v="Chhattisgarh"/>
        <s v="Himachal Pradesh"/>
        <s v="Assam"/>
        <s v="Punjab"/>
        <s v="Maharashtra"/>
        <s v="Andhra Pradesh"/>
        <s v="Manipur"/>
        <s v="Madhya Pradesh"/>
        <s v="Chandigarh"/>
        <s v="Arunachal Pradesh"/>
        <s v="Bihar"/>
        <s v="Tripura"/>
      </sharedItems>
    </cacheField>
    <cacheField name="total_accidents" numFmtId="0">
      <sharedItems containsSemiMixedTypes="0" containsString="0" containsNumber="1" containsInteger="1">
        <n v="109.0"/>
        <n v="108.0"/>
        <n v="106.0"/>
        <n v="105.0"/>
        <n v="102.0"/>
        <n v="101.0"/>
        <n v="100.0"/>
        <n v="98.0"/>
        <n v="95.0"/>
        <n v="94.0"/>
        <n v="93.0"/>
        <n v="92.0"/>
        <n v="91.0"/>
        <n v="90.0"/>
        <n v="89.0"/>
        <n v="88.0"/>
        <n v="87.0"/>
        <n v="83.0"/>
        <n v="82.0"/>
        <n v="79.0"/>
        <n v="78.0"/>
        <n v="76.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B34" firstHeaderRow="0" firstDataRow="1" firstDataCol="0"/>
  <pivotFields>
    <pivotField name="state_name" axis="axisRow" compact="0" outline="0" multipleItemSelectionAllowed="1" showAll="0" sortType="descending">
      <items>
        <item x="12"/>
        <item x="3"/>
        <item x="13"/>
        <item x="31"/>
        <item x="18"/>
        <item x="6"/>
        <item x="2"/>
        <item x="16"/>
        <item x="23"/>
        <item x="9"/>
        <item x="17"/>
        <item x="7"/>
        <item x="10"/>
        <item x="19"/>
        <item x="26"/>
        <item x="24"/>
        <item x="27"/>
        <item x="5"/>
        <item x="11"/>
        <item x="15"/>
        <item x="4"/>
        <item x="21"/>
        <item x="14"/>
        <item x="8"/>
        <item x="0"/>
        <item x="1"/>
        <item x="20"/>
        <item x="28"/>
        <item x="30"/>
        <item x="22"/>
        <item x="29"/>
        <item x="25"/>
        <item t="default"/>
      </items>
    </pivotField>
    <pivotField name="total_accidents" dataField="1"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s>
  <rowFields>
    <field x="0"/>
  </rowFields>
  <dataFields>
    <dataField name="SUM of total_accidents" fld="1"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state_name">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weather_conditions">
  <x14:extLst>
    <ext uri="{2F2917AC-EB37-4324-AD4E-5DD8C200BD13}">
      <x15:tableSlicerCache tableId="2" column="1"/>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1" sourceName="road_type">
  <x14:extLst>
    <ext uri="{2F2917AC-EB37-4324-AD4E-5DD8C200BD13}">
      <x15:tableSlicerCache tableId="3"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tate_name_1" cache="SlicerCache_Table_1_Col_1" caption="state_name"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weather_conditions_2" cache="SlicerCache_Table_2_Col_1" caption="weather_conditions" rowHeight="247650"/>
</x14:slicers>
</file>

<file path=xl/slicers/slicer3.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oad_type_3" cache="SlicerCache_Table_3_Col_1" caption="road_type" rowHeight="247650"/>
</x14:slicers>
</file>

<file path=xl/slicers/slicer4.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tate_name_4" cache="SlicerCache_Table_1_Col_1" caption="state_name" rowHeight="247650"/>
  <x14:slicer name="weather_conditions_5" cache="SlicerCache_Table_2_Col_1" caption="weather_conditions" rowHeight="247650"/>
</x14:slicers>
</file>

<file path=xl/tables/table1.xml><?xml version="1.0" encoding="utf-8"?>
<table xmlns="http://schemas.openxmlformats.org/spreadsheetml/2006/main" ref="A1:A1000" displayName="Table_1" name="Table_1" id="1">
  <autoFilter ref="$A$1:$A$1000"/>
  <tableColumns count="1">
    <tableColumn name="state_name" id="1"/>
  </tableColumns>
  <tableStyleInfo showColumnStripes="0" showFirstColumn="0" showLastColumn="0" showRowStripes="0"/>
</table>
</file>

<file path=xl/tables/table2.xml><?xml version="1.0" encoding="utf-8"?>
<table xmlns="http://schemas.openxmlformats.org/spreadsheetml/2006/main" ref="A1:A1000" displayName="Table_2" name="Table_2" id="2">
  <autoFilter ref="$A$1:$A$1000"/>
  <tableColumns count="1">
    <tableColumn name="weather_conditions" id="1"/>
  </tableColumns>
  <tableStyleInfo showColumnStripes="0" showFirstColumn="0" showLastColumn="0" showRowStripes="0"/>
</table>
</file>

<file path=xl/tables/table3.xml><?xml version="1.0" encoding="utf-8"?>
<table xmlns="http://schemas.openxmlformats.org/spreadsheetml/2006/main" ref="A1:A1000" displayName="Table_3" name="Table_3" id="3">
  <autoFilter ref="$A$1:$A$1000"/>
  <tableColumns count="1">
    <tableColumn name="road_type" id="1"/>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 Id="rId4" Type="http://schemas.microsoft.com/office/2007/relationships/slicer" Target="../slicers/slicer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2" Type="http://schemas.microsoft.com/office/2007/relationships/slicer" Target="../slicers/slicer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1">
        <v>109.0</v>
      </c>
      <c r="C2" s="2">
        <f>SUM(B2:B1000)</f>
        <v>3000</v>
      </c>
      <c r="D2" s="1" t="s">
        <v>4</v>
      </c>
    </row>
    <row r="3">
      <c r="A3" s="1" t="s">
        <v>5</v>
      </c>
      <c r="B3" s="1">
        <v>108.0</v>
      </c>
    </row>
    <row r="4">
      <c r="A4" s="1" t="s">
        <v>6</v>
      </c>
      <c r="B4" s="1">
        <v>108.0</v>
      </c>
    </row>
    <row r="5">
      <c r="A5" s="1" t="s">
        <v>7</v>
      </c>
      <c r="B5" s="1">
        <v>106.0</v>
      </c>
    </row>
    <row r="6">
      <c r="A6" s="1" t="s">
        <v>8</v>
      </c>
      <c r="B6" s="1">
        <v>105.0</v>
      </c>
    </row>
    <row r="7">
      <c r="A7" s="1" t="s">
        <v>9</v>
      </c>
      <c r="B7" s="1">
        <v>102.0</v>
      </c>
    </row>
    <row r="8">
      <c r="A8" s="1" t="s">
        <v>10</v>
      </c>
      <c r="B8" s="1">
        <v>101.0</v>
      </c>
    </row>
    <row r="9">
      <c r="A9" s="1" t="s">
        <v>11</v>
      </c>
      <c r="B9" s="1">
        <v>101.0</v>
      </c>
    </row>
    <row r="10">
      <c r="A10" s="1" t="s">
        <v>12</v>
      </c>
      <c r="B10" s="1">
        <v>100.0</v>
      </c>
    </row>
    <row r="11">
      <c r="A11" s="1" t="s">
        <v>13</v>
      </c>
      <c r="B11" s="1">
        <v>98.0</v>
      </c>
    </row>
    <row r="12">
      <c r="A12" s="1" t="s">
        <v>14</v>
      </c>
      <c r="B12" s="1">
        <v>95.0</v>
      </c>
    </row>
    <row r="13">
      <c r="A13" s="1" t="s">
        <v>15</v>
      </c>
      <c r="B13" s="1">
        <v>95.0</v>
      </c>
    </row>
    <row r="14">
      <c r="A14" s="1" t="s">
        <v>16</v>
      </c>
      <c r="B14" s="1">
        <v>94.0</v>
      </c>
    </row>
    <row r="15">
      <c r="A15" s="1" t="s">
        <v>17</v>
      </c>
      <c r="B15" s="1">
        <v>94.0</v>
      </c>
    </row>
    <row r="16">
      <c r="A16" s="1" t="s">
        <v>18</v>
      </c>
      <c r="B16" s="1">
        <v>94.0</v>
      </c>
    </row>
    <row r="17">
      <c r="A17" s="1" t="s">
        <v>19</v>
      </c>
      <c r="B17" s="1">
        <v>94.0</v>
      </c>
    </row>
    <row r="18">
      <c r="A18" s="1" t="s">
        <v>20</v>
      </c>
      <c r="B18" s="1">
        <v>93.0</v>
      </c>
    </row>
    <row r="19">
      <c r="A19" s="1" t="s">
        <v>21</v>
      </c>
      <c r="B19" s="1">
        <v>93.0</v>
      </c>
    </row>
    <row r="20">
      <c r="A20" s="1" t="s">
        <v>22</v>
      </c>
      <c r="B20" s="1">
        <v>92.0</v>
      </c>
    </row>
    <row r="21">
      <c r="A21" s="1" t="s">
        <v>23</v>
      </c>
      <c r="B21" s="1">
        <v>92.0</v>
      </c>
    </row>
    <row r="22">
      <c r="A22" s="1" t="s">
        <v>24</v>
      </c>
      <c r="B22" s="1">
        <v>92.0</v>
      </c>
    </row>
    <row r="23">
      <c r="A23" s="1" t="s">
        <v>25</v>
      </c>
      <c r="B23" s="1">
        <v>91.0</v>
      </c>
    </row>
    <row r="24">
      <c r="A24" s="1" t="s">
        <v>26</v>
      </c>
      <c r="B24" s="1">
        <v>91.0</v>
      </c>
    </row>
    <row r="25">
      <c r="A25" s="1" t="s">
        <v>27</v>
      </c>
      <c r="B25" s="1">
        <v>90.0</v>
      </c>
    </row>
    <row r="26">
      <c r="A26" s="1" t="s">
        <v>28</v>
      </c>
      <c r="B26" s="1">
        <v>89.0</v>
      </c>
    </row>
    <row r="27">
      <c r="A27" s="1" t="s">
        <v>29</v>
      </c>
      <c r="B27" s="1">
        <v>88.0</v>
      </c>
    </row>
    <row r="28">
      <c r="A28" s="1" t="s">
        <v>30</v>
      </c>
      <c r="B28" s="1">
        <v>87.0</v>
      </c>
    </row>
    <row r="29">
      <c r="A29" s="1" t="s">
        <v>31</v>
      </c>
      <c r="B29" s="1">
        <v>83.0</v>
      </c>
    </row>
    <row r="30">
      <c r="A30" s="1" t="s">
        <v>32</v>
      </c>
      <c r="B30" s="1">
        <v>82.0</v>
      </c>
    </row>
    <row r="31">
      <c r="A31" s="1" t="s">
        <v>33</v>
      </c>
      <c r="B31" s="1">
        <v>79.0</v>
      </c>
    </row>
    <row r="32">
      <c r="A32" s="1" t="s">
        <v>34</v>
      </c>
      <c r="B32" s="1">
        <v>78.0</v>
      </c>
    </row>
    <row r="33">
      <c r="A33" s="1" t="s">
        <v>35</v>
      </c>
      <c r="B33" s="1">
        <v>76.0</v>
      </c>
    </row>
  </sheetData>
  <customSheetViews>
    <customSheetView guid="{37AE680A-2AD7-4DEE-B8DA-FC41197A2108}" filter="1" showAutoFilter="1">
      <autoFilter ref="$A$1:$A$1000"/>
    </customSheetView>
    <customSheetView guid="{37AE680A-2AD7-4DEE-B8DA-FC41197A2108}" filter="1" showAutoFilter="1">
      <autoFilter ref="$A$1:$A$1000"/>
    </customSheetView>
  </customSheetViews>
  <drawing r:id="rId1"/>
  <tableParts count="1">
    <tablePart r:id="rId3"/>
  </tableParts>
  <extLst>
    <ext uri="{3A4CF648-6AED-40f4-86FF-DC5316D8AED3}">
      <x14:slicerList>
        <x14:slicer r:id="rId4"/>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E1" s="1" t="s">
        <v>3</v>
      </c>
    </row>
    <row r="2">
      <c r="E2" s="2" t="str">
        <f t="array" ref="E2">INDEX(A2:A33, MATCH(MAX(B2:B33), B2:B33, 0))</f>
        <v>Goa</v>
      </c>
    </row>
    <row r="3"/>
    <row r="4"/>
    <row r="5"/>
    <row r="6"/>
    <row r="7"/>
    <row r="8"/>
    <row r="9"/>
    <row r="10"/>
    <row r="11"/>
    <row r="12"/>
    <row r="13"/>
    <row r="14"/>
    <row r="15"/>
    <row r="16"/>
    <row r="17"/>
    <row r="18"/>
    <row r="19"/>
    <row r="20"/>
    <row r="21"/>
    <row r="22"/>
    <row r="23"/>
    <row r="24"/>
    <row r="25"/>
    <row r="26"/>
    <row r="27"/>
    <row r="28"/>
    <row r="29"/>
    <row r="30"/>
    <row r="31"/>
    <row r="32"/>
    <row r="33"/>
    <row r="34"/>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38</v>
      </c>
      <c r="B1" s="1" t="s">
        <v>39</v>
      </c>
    </row>
    <row r="2">
      <c r="A2" s="1" t="s">
        <v>40</v>
      </c>
      <c r="B2" s="1">
        <v>631.0</v>
      </c>
    </row>
    <row r="3">
      <c r="A3" s="1" t="s">
        <v>41</v>
      </c>
      <c r="B3" s="1">
        <v>611.0</v>
      </c>
    </row>
    <row r="4">
      <c r="A4" s="1" t="s">
        <v>42</v>
      </c>
      <c r="B4" s="1">
        <v>608.0</v>
      </c>
    </row>
    <row r="5">
      <c r="A5" s="1" t="s">
        <v>43</v>
      </c>
      <c r="B5" s="1">
        <v>576.0</v>
      </c>
    </row>
    <row r="6">
      <c r="A6" s="1" t="s">
        <v>44</v>
      </c>
      <c r="B6" s="1">
        <v>574.0</v>
      </c>
    </row>
  </sheetData>
  <customSheetViews>
    <customSheetView guid="{37AE680A-2AD7-4DEE-B8DA-FC41197A2108}" filter="1" showAutoFilter="1">
      <autoFilter ref="$A$1:$A$1000"/>
    </customSheetView>
    <customSheetView guid="{37AE680A-2AD7-4DEE-B8DA-FC41197A2108}" filter="1" showAutoFilter="1">
      <autoFilter ref="$A$1:$A$1000"/>
    </customSheetView>
  </customSheetViews>
  <drawing r:id="rId1"/>
  <tableParts count="1">
    <tablePart r:id="rId3"/>
  </tableParts>
  <extLst>
    <ext uri="{3A4CF648-6AED-40f4-86FF-DC5316D8AED3}">
      <x14:slicerList>
        <x14:slicer r:id="rId4"/>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45</v>
      </c>
      <c r="B1" s="1" t="s">
        <v>39</v>
      </c>
      <c r="D1" s="1" t="s">
        <v>46</v>
      </c>
    </row>
    <row r="2">
      <c r="A2" s="1" t="s">
        <v>47</v>
      </c>
      <c r="B2" s="1">
        <v>771.0</v>
      </c>
      <c r="D2" s="2" t="str">
        <f t="array" ref="D2">INDEX(A:A, MATCH(MAX(B:B), B:B, 0))</f>
        <v>State Highway</v>
      </c>
    </row>
    <row r="3">
      <c r="A3" s="1" t="s">
        <v>48</v>
      </c>
      <c r="B3" s="1">
        <v>768.0</v>
      </c>
    </row>
    <row r="4">
      <c r="A4" s="1" t="s">
        <v>49</v>
      </c>
      <c r="B4" s="1">
        <v>749.0</v>
      </c>
    </row>
    <row r="5">
      <c r="A5" s="1" t="s">
        <v>50</v>
      </c>
      <c r="B5" s="1">
        <v>712.0</v>
      </c>
    </row>
  </sheetData>
  <customSheetViews>
    <customSheetView guid="{37AE680A-2AD7-4DEE-B8DA-FC41197A2108}" filter="1" showAutoFilter="1">
      <autoFilter ref="$A$1:$A$1000"/>
    </customSheetView>
  </customSheetViews>
  <drawing r:id="rId1"/>
  <tableParts count="1">
    <tablePart r:id="rId3"/>
  </tableParts>
  <extLst>
    <ext uri="{3A4CF648-6AED-40f4-86FF-DC5316D8AED3}">
      <x14:slicerList>
        <x14:slicer r:id="rId4"/>
      </x14:slicerList>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51</v>
      </c>
      <c r="B1" s="1" t="s">
        <v>52</v>
      </c>
    </row>
    <row r="2">
      <c r="A2" s="1" t="s">
        <v>53</v>
      </c>
      <c r="B2" s="1">
        <v>1034.0</v>
      </c>
    </row>
    <row r="3">
      <c r="A3" s="1" t="s">
        <v>54</v>
      </c>
      <c r="B3" s="1">
        <v>985.0</v>
      </c>
    </row>
    <row r="4">
      <c r="A4" s="1" t="s">
        <v>55</v>
      </c>
      <c r="B4" s="1">
        <v>981.0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56</v>
      </c>
      <c r="B1" s="1" t="s">
        <v>39</v>
      </c>
    </row>
    <row r="2">
      <c r="A2" s="1" t="s">
        <v>57</v>
      </c>
      <c r="B2" s="1">
        <v>763.0</v>
      </c>
    </row>
    <row r="3">
      <c r="A3" s="1" t="s">
        <v>58</v>
      </c>
      <c r="B3" s="1">
        <v>759.0</v>
      </c>
    </row>
    <row r="4">
      <c r="A4" s="1" t="s">
        <v>59</v>
      </c>
      <c r="B4" s="1">
        <v>753.0</v>
      </c>
    </row>
    <row r="5">
      <c r="A5" s="1" t="s">
        <v>60</v>
      </c>
      <c r="B5" s="1">
        <v>725.0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3"/>
      <c r="B1" s="3"/>
      <c r="C1" s="3"/>
      <c r="D1" s="3"/>
      <c r="E1" s="3"/>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extLst>
    <ext uri="{3A4CF648-6AED-40f4-86FF-DC5316D8AED3}">
      <x14:slicerList>
        <x14:slicer r:id="rId2"/>
      </x14:slicerList>
    </ext>
  </extLst>
</worksheet>
</file>